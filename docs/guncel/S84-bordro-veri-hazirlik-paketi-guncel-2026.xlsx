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89dab231d245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Özet" sheetId="1" r:id="Re592dbb38eb4492a"/>
    <x:sheet xmlns:r="http://schemas.openxmlformats.org/officeDocument/2006/relationships" name="Mevzuat 2026" sheetId="2" r:id="R9e5320de82d240bd"/>
    <x:sheet xmlns:r="http://schemas.openxmlformats.org/officeDocument/2006/relationships" name="Şirket Politikası" sheetId="3" r:id="R5675ad30930743a3"/>
    <x:sheet xmlns:r="http://schemas.openxmlformats.org/officeDocument/2006/relationships" name="Bordro Devir" sheetId="4" r:id="R39873caf52784897"/>
    <x:sheet xmlns:r="http://schemas.openxmlformats.org/officeDocument/2006/relationships" name="Kaynaklar" sheetId="5" r:id="Ra9a3208c384d43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0"/>
    <x:numFmt numFmtId="201" formatCode="#,##0.00"/>
    <x:numFmt numFmtId="202" formatCode="0.000%"/>
  </x:numFmts>
  <x:fonts count="9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2304A"/>
      <x:name val="Carlito"/>
    </x:font>
    <x:font>
      <x:b/>
      <x:sz val="11"/>
      <x:color rgb="FFFFFFFF"/>
      <x:name val="Carlito"/>
    </x:font>
    <x:font>
      <x:b/>
      <x:sz val="11"/>
      <x:color rgb="FF166534"/>
      <x:name val="Carlito"/>
    </x:font>
    <x:font>
      <x:b/>
      <x:sz val="11"/>
      <x:color rgb="FF92400E"/>
      <x:name val="Carlito"/>
    </x:font>
    <x:font>
      <x:b/>
      <x:sz val="11"/>
      <x:color rgb="FF991B1B"/>
      <x:name val="Carlito"/>
    </x:font>
    <x:font>
      <x:b/>
      <x:sz val="13"/>
      <x:color rgb="FFFFFFFF"/>
      <x:name val="Carlito"/>
    </x:font>
    <x:font>
      <x:b/>
      <x:sz val="14"/>
      <x:color rgb="FF991B1B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2304A"/>
      </x:patternFill>
    </x:fill>
    <x:fill>
      <x:patternFill patternType="solid">
        <x:fgColor rgb="FFE7EEF4"/>
      </x:patternFill>
    </x:fill>
    <x:fill>
      <x:patternFill patternType="solid">
        <x:fgColor rgb="FF1F5A7A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  <x:fill>
      <x:patternFill patternType="solid">
        <x:fgColor rgb="FFFEE2E2"/>
      </x:patternFill>
    </x:fill>
  </x:fills>
  <x:borders count="5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5" fillId="6" borderId="1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vertical="top" wrapText="1"/>
    </x:xf>
    <x:xf numFmtId="0" fontId="6" fillId="7" borderId="1" xfId="0" applyNumberFormat="1" applyFont="1" applyFill="1" applyBorder="1" applyAlignment="1">
      <x:alignment vertical="top"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0" xfId="0" applyNumberFormat="1" applyFont="1" applyFill="1" applyBorder="1" applyAlignment="1">
      <x:alignment horizontal="center"/>
    </x:xf>
    <x:xf numFmtId="0" fontId="8" fillId="7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4" xfId="0" applyNumberFormat="1" applyFont="1" applyFill="1" applyBorder="1"/>
    <x:xf numFmtId="0" fontId="5" fillId="6" borderId="2" xfId="0" applyNumberFormat="1" applyFont="1" applyFill="1" applyBorder="1" applyAlignment="1">
      <x:alignment wrapText="1"/>
    </x:xf>
    <x:xf numFmtId="0" fontId="5" fillId="6" borderId="3" xfId="0" applyNumberFormat="1" applyFont="1" applyFill="1" applyBorder="1" applyAlignment="1">
      <x:alignment wrapText="1"/>
    </x:xf>
    <x:xf numFmtId="0" fontId="5" fillId="6" borderId="4" xfId="0" applyNumberFormat="1" applyFont="1" applyFill="1" applyBorder="1" applyAlignment="1">
      <x:alignment wrapText="1"/>
    </x:xf>
    <x:xf numFmtId="0" fontId="5" fillId="6" borderId="2" xfId="0" applyNumberFormat="1" applyFont="1" applyFill="1" applyBorder="1" applyAlignment="1">
      <x:alignment vertical="center" wrapText="1"/>
    </x:xf>
    <x:xf numFmtId="0" fontId="5" fillId="6" borderId="3" xfId="0" applyNumberFormat="1" applyFont="1" applyFill="1" applyBorder="1" applyAlignment="1">
      <x:alignment vertical="center" wrapText="1"/>
    </x:xf>
    <x:xf numFmtId="0" fontId="5" fillId="6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b596eaf25441fa" /><Relationship Type="http://schemas.openxmlformats.org/officeDocument/2006/relationships/theme" Target="/xl/theme/theme1.xml" Id="Ra4d4eef095f14701" /><Relationship Type="http://schemas.openxmlformats.org/officeDocument/2006/relationships/sharedStrings" Target="/xl/sharedStrings.xml" Id="Re381b95497504aac" /><Relationship Type="http://schemas.openxmlformats.org/officeDocument/2006/relationships/worksheet" Target="/xl/worksheets/sheet1.xml" Id="Re592dbb38eb4492a" /><Relationship Type="http://schemas.openxmlformats.org/officeDocument/2006/relationships/worksheet" Target="/xl/worksheets/sheet2.xml" Id="R9e5320de82d240bd" /><Relationship Type="http://schemas.openxmlformats.org/officeDocument/2006/relationships/worksheet" Target="/xl/worksheets/sheet3.xml" Id="R5675ad30930743a3" /><Relationship Type="http://schemas.openxmlformats.org/officeDocument/2006/relationships/worksheet" Target="/xl/worksheets/sheet4.xml" Id="R39873caf52784897" /><Relationship Type="http://schemas.openxmlformats.org/officeDocument/2006/relationships/worksheet" Target="/xl/worksheets/sheet5.xml" Id="Ra9a3208c384d437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14" hidden="0" customWidth="1"/>
    <x:col min="4" max="4" width="14" hidden="0" customWidth="1"/>
    <x:col min="5" max="5" width="20" hidden="0" customWidth="1"/>
    <x:col min="6" max="6" width="52" hidden="0" customWidth="1"/>
  </x:cols>
  <x:sheetData>
    <x:row r="1" ht="32" customHeight="1">
      <x:c r="A1" s="3" t="str">
        <x:v>S84 Bordro Veri Hazırlık Paketi</x:v>
      </x:c>
      <x:c r="B1" s="3"/>
      <x:c r="C1" s="3"/>
      <x:c r="D1" s="3"/>
      <x:c r="E1" s="3"/>
      <x:c r="F1" s="3"/>
    </x:row>
    <x:row r="2" ht="34" customHeight="1">
      <x:c r="A2" s="7" t="str">
        <x:v>20.07.2026 itibarıyla resmî mevzuat güncel; production hesaplama kapısı şirket politikası ve gerçek bordro devir verisi nedeniyle kontrollü biçimde kapalıdır.</x:v>
      </x:c>
      <x:c r="B2" s="7"/>
      <x:c r="C2" s="7"/>
      <x:c r="D2" s="7"/>
      <x:c r="E2" s="7"/>
      <x:c r="F2" s="7"/>
    </x:row>
    <x:row r="4" ht="30" customHeight="1">
      <x:c r="A4" s="12" t="str">
        <x:v>Kontrol Alanı</x:v>
      </x:c>
      <x:c r="B4" s="12" t="str">
        <x:v>Mevcut</x:v>
      </x:c>
      <x:c r="C4" s="12" t="str">
        <x:v>Gerekli</x:v>
      </x:c>
      <x:c r="D4" s="12" t="str">
        <x:v>Eksik</x:v>
      </x:c>
      <x:c r="E4" s="12" t="str">
        <x:v>Durum</x:v>
      </x:c>
      <x:c r="F4" s="12" t="str">
        <x:v>Açıklama</x:v>
      </x:c>
    </x:row>
    <x:row r="5">
      <x:c r="A5" s="15" t="str">
        <x:v>Resmî mevzuat parametreleri</x:v>
      </x:c>
      <x:c r="B5" s="15" t="n">
        <x:v>17</x:v>
      </x:c>
      <x:c r="C5" s="15" t="n">
        <x:v>17</x:v>
      </x:c>
      <x:c r="D5" s="15" t="n">
        <x:f>C5-B5</x:f>
        <x:v>0</x:v>
      </x:c>
      <x:c r="E5" s="20" t="str">
        <x:f>IF(D5=0,"TAMAM","EKSİK")</x:f>
        <x:v>TAMAM</x:v>
      </x:c>
      <x:c r="F5" s="15" t="str">
        <x:v>17/17 resmî değer doğrulandı</x:v>
      </x:c>
    </x:row>
    <x:row r="6">
      <x:c r="A6" s="15" t="str">
        <x:v>Kaynak URL bulunan mevzuat</x:v>
      </x:c>
      <x:c r="B6" s="15" t="n">
        <x:v>17</x:v>
      </x:c>
      <x:c r="C6" s="15" t="n">
        <x:v>17</x:v>
      </x:c>
      <x:c r="D6" s="15" t="n">
        <x:f>C6-B6</x:f>
        <x:v>0</x:v>
      </x:c>
      <x:c r="E6" s="20" t="str">
        <x:f>IF(D6=0,"TAMAM","EKSİK")</x:f>
        <x:v>TAMAM</x:v>
      </x:c>
      <x:c r="F6" s="15" t="str">
        <x:v>Her mevzuat satırı birincil resmî kaynağa bağlı</x:v>
      </x:c>
    </x:row>
    <x:row r="7">
      <x:c r="A7" s="15" t="str">
        <x:v>Yetkili onaylı şirket politikası</x:v>
      </x:c>
      <x:c r="B7" s="15" t="n">
        <x:f>COUNTA('Şirket Politikası'!F5:F14)</x:f>
        <x:v>0</x:v>
      </x:c>
      <x:c r="C7" s="15" t="n">
        <x:v>10</x:v>
      </x:c>
      <x:c r="D7" s="15" t="n">
        <x:f>C7-B7</x:f>
        <x:v>10</x:v>
      </x:c>
      <x:c r="E7" s="24" t="str">
        <x:f>IF(D7=0,"TAMAM","EKSİK")</x:f>
        <x:v>EKSİK</x:v>
      </x:c>
      <x:c r="F7" s="15" t="str">
        <x:v>Teknik/yasal adaylar hazır; imzalı/yetkili final karar yok</x:v>
      </x:c>
    </x:row>
    <x:row r="8">
      <x:c r="A8" s="15" t="str">
        <x:v>Ayşe zorunlu devir alanları</x:v>
      </x:c>
      <x:c r="B8" s="15" t="n">
        <x:f>COUNTA('Bordro Devir'!E5:F5)</x:f>
        <x:v>0</x:v>
      </x:c>
      <x:c r="C8" s="15" t="n">
        <x:v>2</x:v>
      </x:c>
      <x:c r="D8" s="15" t="n">
        <x:f>C8-B8</x:f>
        <x:v>2</x:v>
      </x:c>
      <x:c r="E8" s="24" t="str">
        <x:f>IF(D8=0,"TAMAM","EKSİK")</x:f>
        <x:v>EKSİK</x:v>
      </x:c>
      <x:c r="F8" s="15" t="str">
        <x:v>Ocak–Şubat 2026 kapanmış bordrodan GV matrahı ve GV tutarı gerekli</x:v>
      </x:c>
    </x:row>
    <x:row r="11" ht="28" customHeight="1">
      <x:c r="A11" s="26" t="str">
        <x:v>PRODUCTION HAZIRLIK DURUMU</x:v>
      </x:c>
      <x:c r="B11" s="26"/>
      <x:c r="C11" s="26"/>
      <x:c r="D11" s="26"/>
      <x:c r="E11" s="26"/>
      <x:c r="F11" s="26"/>
    </x:row>
    <x:row r="12" ht="34" customHeight="1">
      <x:c r="A12" s="30" t="str">
        <x:f>IF(SUM(D5:D8)=0,"HAZIR","BLOKE — EKSİK İŞ KARARI / DEVİR VERİSİ")</x:f>
        <x:v>BLOKE — EKSİK İŞ KARARI / DEVİR VERİSİ</x:v>
      </x:c>
      <x:c r="B12" s="30"/>
      <x:c r="C12" s="30"/>
      <x:c r="D12" s="30"/>
      <x:c r="E12" s="30"/>
      <x:c r="F12" s="30"/>
    </x:row>
    <x:row r="14" ht="48" customHeight="1">
      <x:c r="A14" s="39" t="str">
        <x:v>Güvenli sonraki adım: şirket politikasındaki F sütununu yetkili karar ile; Ayşe devir E–F alanlarını kapanmış Ocak–Şubat bordrolarıyla doldur. Ardından dry-run → commit → preflight sırası uygulanır.</x:v>
      </x:c>
      <x:c r="B14" s="40"/>
      <x:c r="C14" s="40"/>
      <x:c r="D14" s="40"/>
      <x:c r="E14" s="40"/>
      <x:c r="F14" s="41"/>
    </x:row>
    <x:row r="16">
      <x:c r="A16" s="15" t="str">
        <x:v>Canlı kişi</x:v>
      </x:c>
      <x:c r="B16" s="15" t="str">
        <x:v>P-0001 / Ayse Yilmaz</x:v>
      </x:c>
    </x:row>
    <x:row r="17">
      <x:c r="A17" s="15" t="str">
        <x:v>İşe giriş</x:v>
      </x:c>
      <x:c r="B17" s="15" t="str">
        <x:v>15.01.2020</x:v>
      </x:c>
    </x:row>
    <x:row r="18">
      <x:c r="A18" s="15" t="str">
        <x:v>Canlı dönem</x:v>
      </x:c>
      <x:c r="B18" s="15" t="str">
        <x:v>2026-03</x:v>
      </x:c>
    </x:row>
    <x:row r="19">
      <x:c r="A19" s="15" t="str">
        <x:v>Kod / repo</x:v>
      </x:c>
      <x:c r="B19" s="15" t="str">
        <x:v>Değişiklik yapılmadı; working tree temiz</x:v>
      </x:c>
    </x:row>
  </x:sheetData>
  <x:mergeCells>
    <x:mergeCell ref="A1:F1"/>
    <x:mergeCell ref="A2:F2"/>
    <x:mergeCell ref="A11:F11"/>
    <x:mergeCell ref="A12:F12"/>
    <x:mergeCell ref="A14:F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6" hidden="0" customWidth="1"/>
    <x:col min="3" max="3" width="11" hidden="0" customWidth="1"/>
    <x:col min="4" max="4" width="14" hidden="0" customWidth="1"/>
    <x:col min="5" max="5" width="14" hidden="0" customWidth="1"/>
    <x:col min="6" max="6" width="16" hidden="0" customWidth="1"/>
    <x:col min="7" max="7" width="52" hidden="0" customWidth="1"/>
    <x:col min="8" max="8" width="18" hidden="0" customWidth="1"/>
    <x:col min="9" max="9" width="42" hidden="0" customWidth="1"/>
  </x:cols>
  <x:sheetData>
    <x:row r="1" ht="32" customHeight="1">
      <x:c r="A1" s="3" t="str">
        <x:v>2026 Bordro Mevzuat Parametreleri</x:v>
      </x:c>
      <x:c r="B1" s="3"/>
      <x:c r="C1" s="3"/>
      <x:c r="D1" s="3"/>
      <x:c r="E1" s="3"/>
      <x:c r="F1" s="3"/>
      <x:c r="G1" s="3"/>
      <x:c r="H1" s="3"/>
      <x:c r="I1" s="3"/>
    </x:row>
    <x:row r="2" ht="34" customHeight="1">
      <x:c r="A2" s="7" t="str">
        <x:v>Resmî kaynaklarla 20.07.2026 tarihinde yeniden doğrulanmıştır. Oranlar decimal biçimdedir.</x:v>
      </x:c>
      <x:c r="B2" s="7"/>
      <x:c r="C2" s="7"/>
      <x:c r="D2" s="7"/>
      <x:c r="E2" s="7"/>
      <x:c r="F2" s="7"/>
      <x:c r="G2" s="7"/>
      <x:c r="H2" s="7"/>
      <x:c r="I2" s="7"/>
    </x:row>
    <x:row r="4" ht="30" customHeight="1">
      <x:c r="A4" s="12" t="str">
        <x:v>Parametre Kodu</x:v>
      </x:c>
      <x:c r="B4" s="12" t="str">
        <x:v>Değer</x:v>
      </x:c>
      <x:c r="C4" s="12" t="str">
        <x:v>Birim</x:v>
      </x:c>
      <x:c r="D4" s="12" t="str">
        <x:v>Başlangıç</x:v>
      </x:c>
      <x:c r="E4" s="12" t="str">
        <x:v>Bitiş</x:v>
      </x:c>
      <x:c r="F4" s="12" t="str">
        <x:v>Kaynak Kurum</x:v>
      </x:c>
      <x:c r="G4" s="12" t="str">
        <x:v>Kaynak URL</x:v>
      </x:c>
      <x:c r="H4" s="12" t="str">
        <x:v>Durum</x:v>
      </x:c>
      <x:c r="I4" s="12" t="str">
        <x:v>Açıklama</x:v>
      </x:c>
    </x:row>
    <x:row r="5">
      <x:c r="A5" s="15" t="str">
        <x:v>ASGARI_UCRET_BRUT</x:v>
      </x:c>
      <x:c r="B5" s="17" t="n">
        <x:v>33030</x:v>
      </x:c>
      <x:c r="C5" s="15" t="str">
        <x:v>TRY</x:v>
      </x:c>
      <x:c r="D5" s="15" t="str">
        <x:v>2026-01-01</x:v>
      </x:c>
      <x:c r="E5" s="15" t="str">
        <x:v>2026-12-31</x:v>
      </x:c>
      <x:c r="F5" s="15" t="str">
        <x:v>ÇSGB</x:v>
      </x:c>
      <x:c r="G5" s="15" t="str">
        <x:v>https://www.csgb.gov.tr/tr/poco-pages/asgari-ucret/</x:v>
      </x:c>
      <x:c r="H5" s="20" t="str">
        <x:v>DOĞRULANDI</x:v>
      </x:c>
      <x:c r="I5" s="15" t="str">
        <x:v>Brüt aylık asgari ücret</x:v>
      </x:c>
    </x:row>
    <x:row r="6">
      <x:c r="A6" s="15" t="str">
        <x:v>ASGARI_UCRET_GELIR_VERGISI_ISTISNA_MATRAHI</x:v>
      </x:c>
      <x:c r="B6" s="17" t="n">
        <x:v>28075.5</x:v>
      </x:c>
      <x:c r="C6" s="15" t="str">
        <x:v>TRY</x:v>
      </x:c>
      <x:c r="D6" s="15" t="str">
        <x:v>2026-01-01</x:v>
      </x:c>
      <x:c r="E6" s="15" t="str">
        <x:v>2026-12-31</x:v>
      </x:c>
      <x:c r="F6" s="15" t="str">
        <x:v>GİB / ÇSGB</x:v>
      </x:c>
      <x:c r="G6" s="15" t="str">
        <x:v>https://cdn.gib.gov.tr/api/gibportal-file/file/getFileResources?objectKey=arsiv%2Fyardim-kaynaklar%2Fyararli-bilgiler%2FAsgariUcrettenYapilanKesintiler.pdf</x:v>
      </x:c>
      <x:c r="H6" s="20" t="str">
        <x:v>DOĞRULANDI</x:v>
      </x:c>
      <x:c r="I6" s="15" t="str">
        <x:v>33.030 - %14 SGK - %1 işsizlik; ücret GV istisna matrahı</x:v>
      </x:c>
    </x:row>
    <x:row r="7">
      <x:c r="A7" s="15" t="str">
        <x:v>ASGARI_UCRET_DAMGA_VERGISI_ISTISNA_MATRAHI</x:v>
      </x:c>
      <x:c r="B7" s="17" t="n">
        <x:v>33030</x:v>
      </x:c>
      <x:c r="C7" s="15" t="str">
        <x:v>TRY</x:v>
      </x:c>
      <x:c r="D7" s="15" t="str">
        <x:v>2026-01-01</x:v>
      </x:c>
      <x:c r="E7" s="15" t="str">
        <x:v>2026-12-31</x:v>
      </x:c>
      <x:c r="F7" s="15" t="str">
        <x:v>GİB</x:v>
      </x:c>
      <x:c r="G7" s="15" t="str">
        <x:v>https://cdn.gib.gov.tr/api/gibportal-file/file/getFileResources?objectKey=arsiv%2Fyardim-kaynaklar%2Fyararli-bilgiler%2FAsgariUcrettenYapilanKesintiler.pdf</x:v>
      </x:c>
      <x:c r="H7" s="20" t="str">
        <x:v>DOĞRULANDI</x:v>
      </x:c>
      <x:c r="I7" s="15" t="str">
        <x:v>Brüt asgari ücret tutarı</x:v>
      </x:c>
    </x:row>
    <x:row r="8">
      <x:c r="A8" s="15" t="str">
        <x:v>SGK_ISCI_PRIM_ORANI</x:v>
      </x:c>
      <x:c r="B8" s="18" t="n">
        <x:v>0.14</x:v>
      </x:c>
      <x:c r="C8" s="15" t="str">
        <x:v>ORAN</x:v>
      </x:c>
      <x:c r="D8" s="15" t="str">
        <x:v>2026-01-01</x:v>
      </x:c>
      <x:c r="E8" s="15" t="str">
        <x:v>2026-12-31</x:v>
      </x:c>
      <x:c r="F8" s="15" t="str">
        <x:v>ÇSGB</x:v>
      </x:c>
      <x:c r="G8" s="15" t="str">
        <x:v>https://www.csgb.gov.tr/tr/poco-pages/asgari-ucret/</x:v>
      </x:c>
      <x:c r="H8" s="20" t="str">
        <x:v>DOĞRULANDI</x:v>
      </x:c>
      <x:c r="I8" s="15" t="str">
        <x:v>Sisteme 14 değil 0,14 girilir</x:v>
      </x:c>
    </x:row>
    <x:row r="9">
      <x:c r="A9" s="15" t="str">
        <x:v>ISSIZLIK_ISCI_PRIM_ORANI</x:v>
      </x:c>
      <x:c r="B9" s="18" t="n">
        <x:v>0.01</x:v>
      </x:c>
      <x:c r="C9" s="15" t="str">
        <x:v>ORAN</x:v>
      </x:c>
      <x:c r="D9" s="15" t="str">
        <x:v>2026-01-01</x:v>
      </x:c>
      <x:c r="E9" s="15" t="str">
        <x:v>2026-12-31</x:v>
      </x:c>
      <x:c r="F9" s="15" t="str">
        <x:v>ÇSGB</x:v>
      </x:c>
      <x:c r="G9" s="15" t="str">
        <x:v>https://www.csgb.gov.tr/tr/poco-pages/asgari-ucret/</x:v>
      </x:c>
      <x:c r="H9" s="20" t="str">
        <x:v>DOĞRULANDI</x:v>
      </x:c>
      <x:c r="I9" s="15" t="str">
        <x:v>Sisteme 1 değil 0,01 girilir</x:v>
      </x:c>
    </x:row>
    <x:row r="10">
      <x:c r="A10" s="15" t="str">
        <x:v>SGK_GUNLUK_TABAN</x:v>
      </x:c>
      <x:c r="B10" s="17" t="n">
        <x:v>1101</x:v>
      </x:c>
      <x:c r="C10" s="15" t="str">
        <x:v>TRY</x:v>
      </x:c>
      <x:c r="D10" s="15" t="str">
        <x:v>2026-01-01</x:v>
      </x:c>
      <x:c r="E10" s="15" t="str">
        <x:v>2026-12-31</x:v>
      </x:c>
      <x:c r="F10" s="15" t="str">
        <x:v>SGK</x:v>
      </x:c>
      <x:c r="G10" s="15" t="str">
        <x:v>https://www.sgk.gov.tr/Content/Post/2e0c9e1a-2cfe-4456-af10-49d3de0c58ba/Prime-Esas-Kazanc-Miktarlari-2026-01-14-10-35-39</x:v>
      </x:c>
      <x:c r="H10" s="20" t="str">
        <x:v>DOĞRULANDI</x:v>
      </x:c>
      <x:c r="I10" s="15" t="str">
        <x:v>Özel sektör günlük PEK alt sınırı</x:v>
      </x:c>
    </x:row>
    <x:row r="11">
      <x:c r="A11" s="15" t="str">
        <x:v>SGK_GUNLUK_TAVAN</x:v>
      </x:c>
      <x:c r="B11" s="17" t="n">
        <x:v>9909</x:v>
      </x:c>
      <x:c r="C11" s="15" t="str">
        <x:v>TRY</x:v>
      </x:c>
      <x:c r="D11" s="15" t="str">
        <x:v>2026-01-01</x:v>
      </x:c>
      <x:c r="E11" s="15" t="str">
        <x:v>2026-12-31</x:v>
      </x:c>
      <x:c r="F11" s="15" t="str">
        <x:v>SGK</x:v>
      </x:c>
      <x:c r="G11" s="15" t="str">
        <x:v>https://www.sgk.gov.tr/Content/Post/2e0c9e1a-2cfe-4456-af10-49d3de0c58ba/Prime-Esas-Kazanc-Miktarlari-2026-01-14-10-35-39</x:v>
      </x:c>
      <x:c r="H11" s="20" t="str">
        <x:v>DOĞRULANDI</x:v>
      </x:c>
      <x:c r="I11" s="15" t="str">
        <x:v>Özel sektör günlük PEK üst sınırı</x:v>
      </x:c>
    </x:row>
    <x:row r="12">
      <x:c r="A12" s="15" t="str">
        <x:v>DAMGA_VERGISI_ORANI</x:v>
      </x:c>
      <x:c r="B12" s="18" t="n">
        <x:v>0.00759</x:v>
      </x:c>
      <x:c r="C12" s="15" t="str">
        <x:v>ORAN</x:v>
      </x:c>
      <x:c r="D12" s="15" t="str">
        <x:v>2026-01-01</x:v>
      </x:c>
      <x:c r="E12" s="15" t="str">
        <x:v>2026-12-31</x:v>
      </x:c>
      <x:c r="F12" s="15" t="str">
        <x:v>GİB</x:v>
      </x:c>
      <x:c r="G12" s="15" t="str">
        <x:v>https://cdn.gib.gov.tr/api/gibportal-file/file/getFile?objectKey=MEVZUAT_TEBLIGLER%2FUNIVERSAL%2F2025%2F488_Tablo1_01102025.pdf</x:v>
      </x:c>
      <x:c r="H12" s="20" t="str">
        <x:v>DOĞRULANDI</x:v>
      </x:c>
      <x:c r="I12" s="15" t="str">
        <x:v>Ücret makbuzları için binde 7,59</x:v>
      </x:c>
    </x:row>
    <x:row r="13">
      <x:c r="A13" s="15" t="str">
        <x:v>GELIR_VERGISI_DILIM_1_LIMIT</x:v>
      </x:c>
      <x:c r="B13" s="17" t="n">
        <x:v>190000</x:v>
      </x:c>
      <x:c r="C13" s="15" t="str">
        <x:v>TRY</x:v>
      </x:c>
      <x:c r="D13" s="15" t="str">
        <x:v>2026-01-01</x:v>
      </x:c>
      <x:c r="E13" s="15" t="str">
        <x:v>2026-12-31</x:v>
      </x:c>
      <x:c r="F13" s="15" t="str">
        <x:v>GİB</x:v>
      </x:c>
      <x:c r="G13" s="15" t="str">
        <x:v>https://cdn.gib.gov.tr/api/gibportal-file/file/getFileResources?objectKey=arsiv%2Fyardim-kaynaklar%2Fyararli-bilgiler%2Fgelir-vergisi-tarifeleri%2Fgelir-vergisi-tarifesi-2026.pdf</x:v>
      </x:c>
      <x:c r="H13" s="20" t="str">
        <x:v>DOĞRULANDI</x:v>
      </x:c>
      <x:c r="I13" s="15" t="str">
        <x:v>Ücret gelirleri tarifesi</x:v>
      </x:c>
    </x:row>
    <x:row r="14">
      <x:c r="A14" s="15" t="str">
        <x:v>GELIR_VERGISI_DILIM_2_LIMIT</x:v>
      </x:c>
      <x:c r="B14" s="17" t="n">
        <x:v>400000</x:v>
      </x:c>
      <x:c r="C14" s="15" t="str">
        <x:v>TRY</x:v>
      </x:c>
      <x:c r="D14" s="15" t="str">
        <x:v>2026-01-01</x:v>
      </x:c>
      <x:c r="E14" s="15" t="str">
        <x:v>2026-12-31</x:v>
      </x:c>
      <x:c r="F14" s="15" t="str">
        <x:v>GİB</x:v>
      </x:c>
      <x:c r="G14" s="15" t="str">
        <x:v>https://www.gib.gov.tr/vergi-konulari/1_bireysel/11_ucret_geliri/11</x:v>
      </x:c>
      <x:c r="H14" s="20" t="str">
        <x:v>DOĞRULANDI</x:v>
      </x:c>
      <x:c r="I14" s="15" t="str">
        <x:v>Ücret gelirleri tarifesi</x:v>
      </x:c>
    </x:row>
    <x:row r="15">
      <x:c r="A15" s="15" t="str">
        <x:v>GELIR_VERGISI_DILIM_3_LIMIT</x:v>
      </x:c>
      <x:c r="B15" s="17" t="n">
        <x:v>1500000</x:v>
      </x:c>
      <x:c r="C15" s="15" t="str">
        <x:v>TRY</x:v>
      </x:c>
      <x:c r="D15" s="15" t="str">
        <x:v>2026-01-01</x:v>
      </x:c>
      <x:c r="E15" s="15" t="str">
        <x:v>2026-12-31</x:v>
      </x:c>
      <x:c r="F15" s="15" t="str">
        <x:v>GİB</x:v>
      </x:c>
      <x:c r="G15" s="15" t="str">
        <x:v>https://cdn.gib.gov.tr/api/gibportal-file/file/getFileResources?objectKey=arsiv%2Fyardim-kaynaklar%2Fyararli-bilgiler%2Fgelir-vergisi-tarifeleri%2Fgelir-vergisi-tarifesi-2026.pdf</x:v>
      </x:c>
      <x:c r="H15" s="20" t="str">
        <x:v>DOĞRULANDI</x:v>
      </x:c>
      <x:c r="I15" s="15" t="str">
        <x:v>Ücret gelirleri için 3. dilim üst sınırı</x:v>
      </x:c>
    </x:row>
    <x:row r="16">
      <x:c r="A16" s="15" t="str">
        <x:v>GELIR_VERGISI_DILIM_4_LIMIT</x:v>
      </x:c>
      <x:c r="B16" s="17" t="n">
        <x:v>5300000</x:v>
      </x:c>
      <x:c r="C16" s="15" t="str">
        <x:v>TRY</x:v>
      </x:c>
      <x:c r="D16" s="15" t="str">
        <x:v>2026-01-01</x:v>
      </x:c>
      <x:c r="E16" s="15" t="str">
        <x:v>2026-12-31</x:v>
      </x:c>
      <x:c r="F16" s="15" t="str">
        <x:v>GİB</x:v>
      </x:c>
      <x:c r="G16" s="15" t="str">
        <x:v>https://cdn.gib.gov.tr/api/gibportal-file/file/getFileResources?objectKey=arsiv%2Fyardim-kaynaklar%2Fyararli-bilgiler%2Fgelir-vergisi-tarifeleri%2Fgelir-vergisi-tarifesi-2026.pdf</x:v>
      </x:c>
      <x:c r="H16" s="20" t="str">
        <x:v>DOĞRULANDI</x:v>
      </x:c>
      <x:c r="I16" s="15" t="str">
        <x:v>Ücret gelirleri için 4. dilim üst sınırı</x:v>
      </x:c>
    </x:row>
    <x:row r="17">
      <x:c r="A17" s="15" t="str">
        <x:v>GELIR_VERGISI_DILIM_1_ORAN</x:v>
      </x:c>
      <x:c r="B17" s="18" t="n">
        <x:v>0.15</x:v>
      </x:c>
      <x:c r="C17" s="15" t="str">
        <x:v>ORAN</x:v>
      </x:c>
      <x:c r="D17" s="15" t="str">
        <x:v>2026-01-01</x:v>
      </x:c>
      <x:c r="E17" s="15" t="str">
        <x:v>2026-12-31</x:v>
      </x:c>
      <x:c r="F17" s="15" t="str">
        <x:v>GİB</x:v>
      </x:c>
      <x:c r="G17" s="15" t="str">
        <x:v>https://cdn.gib.gov.tr/api/gibportal-file/file/getFileResources?objectKey=arsiv%2Fyardim-kaynaklar%2Fyararli-bilgiler%2Fgelir-vergisi-tarifeleri%2Fgelir-vergisi-tarifesi-2026.pdf</x:v>
      </x:c>
      <x:c r="H17" s="20" t="str">
        <x:v>DOĞRULANDI</x:v>
      </x:c>
      <x:c r="I17" s="15" t="str">
        <x:v>1. dilim</x:v>
      </x:c>
    </x:row>
    <x:row r="18">
      <x:c r="A18" s="15" t="str">
        <x:v>GELIR_VERGISI_DILIM_2_ORAN</x:v>
      </x:c>
      <x:c r="B18" s="18" t="n">
        <x:v>0.2</x:v>
      </x:c>
      <x:c r="C18" s="15" t="str">
        <x:v>ORAN</x:v>
      </x:c>
      <x:c r="D18" s="15" t="str">
        <x:v>2026-01-01</x:v>
      </x:c>
      <x:c r="E18" s="15" t="str">
        <x:v>2026-12-31</x:v>
      </x:c>
      <x:c r="F18" s="15" t="str">
        <x:v>GİB</x:v>
      </x:c>
      <x:c r="G18" s="15" t="str">
        <x:v>https://cdn.gib.gov.tr/api/gibportal-file/file/getFileResources?objectKey=arsiv%2Fyardim-kaynaklar%2Fyararli-bilgiler%2Fgelir-vergisi-tarifeleri%2Fgelir-vergisi-tarifesi-2026.pdf</x:v>
      </x:c>
      <x:c r="H18" s="20" t="str">
        <x:v>DOĞRULANDI</x:v>
      </x:c>
      <x:c r="I18" s="15" t="str">
        <x:v>2. dilim</x:v>
      </x:c>
    </x:row>
    <x:row r="19">
      <x:c r="A19" s="15" t="str">
        <x:v>GELIR_VERGISI_DILIM_3_ORAN</x:v>
      </x:c>
      <x:c r="B19" s="18" t="n">
        <x:v>0.27</x:v>
      </x:c>
      <x:c r="C19" s="15" t="str">
        <x:v>ORAN</x:v>
      </x:c>
      <x:c r="D19" s="15" t="str">
        <x:v>2026-01-01</x:v>
      </x:c>
      <x:c r="E19" s="15" t="str">
        <x:v>2026-12-31</x:v>
      </x:c>
      <x:c r="F19" s="15" t="str">
        <x:v>GİB</x:v>
      </x:c>
      <x:c r="G19" s="15" t="str">
        <x:v>https://cdn.gib.gov.tr/api/gibportal-file/file/getFileResources?objectKey=arsiv%2Fyardim-kaynaklar%2Fyararli-bilgiler%2Fgelir-vergisi-tarifeleri%2Fgelir-vergisi-tarifesi-2026.pdf</x:v>
      </x:c>
      <x:c r="H19" s="20" t="str">
        <x:v>DOĞRULANDI</x:v>
      </x:c>
      <x:c r="I19" s="15" t="str">
        <x:v>3. dilim</x:v>
      </x:c>
    </x:row>
    <x:row r="20">
      <x:c r="A20" s="15" t="str">
        <x:v>GELIR_VERGISI_DILIM_4_ORAN</x:v>
      </x:c>
      <x:c r="B20" s="18" t="n">
        <x:v>0.35</x:v>
      </x:c>
      <x:c r="C20" s="15" t="str">
        <x:v>ORAN</x:v>
      </x:c>
      <x:c r="D20" s="15" t="str">
        <x:v>2026-01-01</x:v>
      </x:c>
      <x:c r="E20" s="15" t="str">
        <x:v>2026-12-31</x:v>
      </x:c>
      <x:c r="F20" s="15" t="str">
        <x:v>GİB</x:v>
      </x:c>
      <x:c r="G20" s="15" t="str">
        <x:v>https://cdn.gib.gov.tr/api/gibportal-file/file/getFileResources?objectKey=arsiv%2Fyardim-kaynaklar%2Fyararli-bilgiler%2Fgelir-vergisi-tarifeleri%2Fgelir-vergisi-tarifesi-2026.pdf</x:v>
      </x:c>
      <x:c r="H20" s="20" t="str">
        <x:v>DOĞRULANDI</x:v>
      </x:c>
      <x:c r="I20" s="15" t="str">
        <x:v>4. dilim</x:v>
      </x:c>
    </x:row>
    <x:row r="21">
      <x:c r="A21" s="15" t="str">
        <x:v>GELIR_VERGISI_DILIM_5_ORAN</x:v>
      </x:c>
      <x:c r="B21" s="18" t="n">
        <x:v>0.4</x:v>
      </x:c>
      <x:c r="C21" s="15" t="str">
        <x:v>ORAN</x:v>
      </x:c>
      <x:c r="D21" s="15" t="str">
        <x:v>2026-01-01</x:v>
      </x:c>
      <x:c r="E21" s="15" t="str">
        <x:v>2026-12-31</x:v>
      </x:c>
      <x:c r="F21" s="15" t="str">
        <x:v>GİB</x:v>
      </x:c>
      <x:c r="G21" s="15" t="str">
        <x:v>https://cdn.gib.gov.tr/api/gibportal-file/file/getFileResources?objectKey=arsiv%2Fyardim-kaynaklar%2Fyararli-bilgiler%2Fgelir-vergisi-tarifeleri%2Fgelir-vergisi-tarifesi-2026.pdf</x:v>
      </x:c>
      <x:c r="H21" s="20" t="str">
        <x:v>DOĞRULANDI</x:v>
      </x:c>
      <x:c r="I21" s="15" t="str">
        <x:v>5. dilim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12" hidden="0" customWidth="1"/>
    <x:col min="3" max="3" width="34" hidden="0" customWidth="1"/>
    <x:col min="4" max="4" width="44" hidden="0" customWidth="1"/>
    <x:col min="5" max="5" width="27" hidden="0" customWidth="1"/>
    <x:col min="6" max="6" width="24" hidden="0" customWidth="1"/>
    <x:col min="7" max="7" width="42" hidden="0" customWidth="1"/>
  </x:cols>
  <x:sheetData>
    <x:row r="1" ht="32" customHeight="1">
      <x:c r="A1" s="3" t="str">
        <x:v>Şirket Çalışma Politikası</x:v>
      </x:c>
      <x:c r="B1" s="3"/>
      <x:c r="C1" s="3"/>
      <x:c r="D1" s="3"/>
      <x:c r="E1" s="3"/>
      <x:c r="F1" s="3"/>
      <x:c r="G1" s="3"/>
    </x:row>
    <x:row r="2" ht="34" customHeight="1">
      <x:c r="A2" s="7" t="str">
        <x:v>Yasal minimumlar ve teknik adaylar gösterilir; F sütunu yalnız yetkili şirket/muhasebe kararıyla doldurulmalıdır.</x:v>
      </x:c>
      <x:c r="B2" s="7"/>
      <x:c r="C2" s="7"/>
      <x:c r="D2" s="7"/>
      <x:c r="E2" s="7"/>
      <x:c r="F2" s="7"/>
      <x:c r="G2" s="7"/>
    </x:row>
    <x:row r="4" ht="30" customHeight="1">
      <x:c r="A4" s="12" t="str">
        <x:v>Parametre Kodu</x:v>
      </x:c>
      <x:c r="B4" s="12" t="str">
        <x:v>Tip</x:v>
      </x:c>
      <x:c r="C4" s="12" t="str">
        <x:v>Teknik/Yasal Aday</x:v>
      </x:c>
      <x:c r="D4" s="12" t="str">
        <x:v>Dayanak</x:v>
      </x:c>
      <x:c r="E4" s="12" t="str">
        <x:v>Durum</x:v>
      </x:c>
      <x:c r="F4" s="12" t="str">
        <x:v>Yetkili Onaylı Değer</x:v>
      </x:c>
      <x:c r="G4" s="12" t="str">
        <x:v>Eksik Kanıt / Karar</x:v>
      </x:c>
    </x:row>
    <x:row r="5">
      <x:c r="A5" s="15" t="str">
        <x:v>NORMAL_AY_GUN_SAYISI</x:v>
      </x:c>
      <x:c r="B5" s="15" t="str">
        <x:v>SAYISAL</x:v>
      </x:c>
      <x:c r="C5" s="15" t="str">
        <x:v>30</x:v>
      </x:c>
      <x:c r="D5" s="15" t="str">
        <x:v>Proje kural matrisi: maaş / 30</x:v>
      </x:c>
      <x:c r="E5" s="22" t="str">
        <x:v>YETKİLİ ONAYI BEKLİYOR</x:v>
      </x:c>
      <x:c r="F5" s="22"/>
      <x:c r="G5" s="15" t="str">
        <x:v>Aylık ücretin günlük böleni için imzalı/kurumsal karar</x:v>
      </x:c>
    </x:row>
    <x:row r="6">
      <x:c r="A6" s="15" t="str">
        <x:v>GUNLUK_CALISMA_SAATI</x:v>
      </x:c>
      <x:c r="B6" s="15" t="str">
        <x:v>SAYISAL</x:v>
      </x:c>
      <x:c r="C6" s="15" t="str">
        <x:v>7.5</x:v>
      </x:c>
      <x:c r="D6" s="15" t="str">
        <x:v>Yalnız gerçek net günlük düzen 7,5 saat ise</x:v>
      </x:c>
      <x:c r="E6" s="22" t="str">
        <x:v>GERÇEK ÇALIŞMA DÜZENİ EKSİK</x:v>
      </x:c>
      <x:c r="F6" s="22"/>
      <x:c r="G6" s="15" t="str">
        <x:v>Ara dinlenmesi hariç net günlük saat</x:v>
      </x:c>
    </x:row>
    <x:row r="7">
      <x:c r="A7" s="15" t="str">
        <x:v>AYLIK_NORMAL_CALISMA_SAATI</x:v>
      </x:c>
      <x:c r="B7" s="15" t="str">
        <x:v>SAYISAL</x:v>
      </x:c>
      <x:c r="C7" s="15" t="str">
        <x:v>225</x:v>
      </x:c>
      <x:c r="D7" s="15" t="str">
        <x:v>Mevcut proje kural matrisi: maaş / 225</x:v>
      </x:c>
      <x:c r="E7" s="22" t="str">
        <x:v>YETKİLİ ONAYI BEKLİYOR</x:v>
      </x:c>
      <x:c r="F7" s="22"/>
      <x:c r="G7" s="15" t="str">
        <x:v>Muhasebe/bordro uygulamasındaki saatlik bölen</x:v>
      </x:c>
    </x:row>
    <x:row r="8">
      <x:c r="A8" s="15" t="str">
        <x:v>HAFTALIK_IS_GUNU_SAYISI</x:v>
      </x:c>
      <x:c r="B8" s="15" t="str">
        <x:v>SAYISAL</x:v>
      </x:c>
      <x:c r="C8" s="15" t="str">
        <x:v>5 veya 6</x:v>
      </x:c>
      <x:c r="D8" s="15" t="str">
        <x:v>Sözleşme/vardiya düzeni belirler</x:v>
      </x:c>
      <x:c r="E8" s="22" t="str">
        <x:v>GERÇEK ÇALIŞMA DÜZENİ EKSİK</x:v>
      </x:c>
      <x:c r="F8" s="22"/>
      <x:c r="G8" s="15" t="str">
        <x:v>Normal haftalık iş günleri</x:v>
      </x:c>
    </x:row>
    <x:row r="9">
      <x:c r="A9" s="15" t="str">
        <x:v>HAFTA_TATILI_HESAP_MODU</x:v>
      </x:c>
      <x:c r="B9" s="15" t="str">
        <x:v>METIN</x:v>
      </x:c>
      <x:c r="C9" s="15" t="str">
        <x:v>GUNLUK_ILAVE / SAAT_CARPAN / GUNLUK_ILAVE_VE_SAAT_CARPAN</x:v>
      </x:c>
      <x:c r="D9" s="15" t="str">
        <x:v>Kanun tek başına engine modunu seçmez</x:v>
      </x:c>
      <x:c r="E9" s="22" t="str">
        <x:v>ŞİRKET POLİTİKASI EKSİK</x:v>
      </x:c>
      <x:c r="F9" s="22"/>
      <x:c r="G9" s="15" t="str">
        <x:v>Bordro uygulaması ve sözleşme dayanağı</x:v>
      </x:c>
    </x:row>
    <x:row r="10">
      <x:c r="A10" s="15" t="str">
        <x:v>HAFTA_TATILI_CARPANI</x:v>
      </x:c>
      <x:c r="B10" s="15" t="str">
        <x:v>SAYISAL</x:v>
      </x:c>
      <x:c r="C10" s="15" t="str">
        <x:v>Moda bağlı</x:v>
      </x:c>
      <x:c r="D10" s="15" t="str">
        <x:v>+1,5 ek / toplam 2,5 otomatik kesin kural değildir</x:v>
      </x:c>
      <x:c r="E10" s="22" t="str">
        <x:v>ŞİRKET POLİTİKASI EKSİK</x:v>
      </x:c>
      <x:c r="F10" s="22"/>
      <x:c r="G10" s="15" t="str">
        <x:v>Seçilen mod ve fiili bordro uygulaması</x:v>
      </x:c>
    </x:row>
    <x:row r="11">
      <x:c r="A11" s="15" t="str">
        <x:v>FAZLA_MESAI_CARPANI</x:v>
      </x:c>
      <x:c r="B11" s="15" t="str">
        <x:v>SAYISAL</x:v>
      </x:c>
      <x:c r="C11" s="15" t="str">
        <x:v>1.5</x:v>
      </x:c>
      <x:c r="D11" s="15" t="str">
        <x:v>4857 m.41: en az %50 zamlı</x:v>
      </x:c>
      <x:c r="E11" s="22" t="str">
        <x:v>YETKİLİ ONAYI BEKLİYOR</x:v>
      </x:c>
      <x:c r="F11" s="22"/>
      <x:c r="G11" s="15" t="str">
        <x:v>Sözleşme/TİS daha yüksek oran içeriyor mu kontrolü</x:v>
      </x:c>
    </x:row>
    <x:row r="12">
      <x:c r="A12" s="15" t="str">
        <x:v>FAZLA_SURELERLE_CALISMA_CARPANI</x:v>
      </x:c>
      <x:c r="B12" s="15" t="str">
        <x:v>SAYISAL</x:v>
      </x:c>
      <x:c r="C12" s="15" t="str">
        <x:v>1.25</x:v>
      </x:c>
      <x:c r="D12" s="15" t="str">
        <x:v>4857 m.41: en az %25 zamlı</x:v>
      </x:c>
      <x:c r="E12" s="22" t="str">
        <x:v>YETKİLİ ONAYI BEKLİYOR</x:v>
      </x:c>
      <x:c r="F12" s="22"/>
      <x:c r="G12" s="15" t="str">
        <x:v>45 saatin altında sözleşme varsa uygulanır</x:v>
      </x:c>
    </x:row>
    <x:row r="13">
      <x:c r="A13" s="15" t="str">
        <x:v>UBGT_CARPANI</x:v>
      </x:c>
      <x:c r="B13" s="15" t="str">
        <x:v>SAYISAL</x:v>
      </x:c>
      <x:c r="C13" s="15" t="str">
        <x:v>1.0</x:v>
      </x:c>
      <x:c r="D13" s="15" t="str">
        <x:v>4857 m.47: çalışılırsa ayrıca bir günlük ücret</x:v>
      </x:c>
      <x:c r="E13" s="22" t="str">
        <x:v>YETKİLİ ONAYI BEKLİYOR</x:v>
      </x:c>
      <x:c r="F13" s="22"/>
      <x:c r="G13" s="15" t="str">
        <x:v>Sözleşmede daha yüksek hak var mı kontrolü</x:v>
      </x:c>
    </x:row>
    <x:row r="14">
      <x:c r="A14" s="15" t="str">
        <x:v>UBGT_HESAP_MODU</x:v>
      </x:c>
      <x:c r="B14" s="15" t="str">
        <x:v>METIN</x:v>
      </x:c>
      <x:c r="C14" s="15" t="str">
        <x:v>GUNLUK_ILAVE</x:v>
      </x:c>
      <x:c r="D14" s="15" t="str">
        <x:v>Engine V2 ve 4857 m.47 ile uyumlu teknik aday</x:v>
      </x:c>
      <x:c r="E14" s="22" t="str">
        <x:v>YETKİLİ ONAYI BEKLİYOR</x:v>
      </x:c>
      <x:c r="F14" s="22"/>
      <x:c r="G14" s="15" t="str">
        <x:v>Yetkili şirket kararı</x:v>
      </x:c>
    </x:row>
    <x:row r="16" ht="30" customHeight="1">
      <x:c r="A16" s="12" t="str">
        <x:v>Kontrol</x:v>
      </x:c>
      <x:c r="B16" s="12" t="str">
        <x:v>Formül</x:v>
      </x:c>
      <x:c r="C16" s="12" t="str">
        <x:v>Sonuç</x:v>
      </x:c>
      <x:c r="D16" s="12" t="str">
        <x:v>Beklenen</x:v>
      </x:c>
    </x:row>
    <x:row r="17">
      <x:c r="A17" s="15" t="str">
        <x:v>Onaylı değer sayısı</x:v>
      </x:c>
      <x:c r="B17" s="15" t="str">
        <x:v>F5:F14 dolu hücreler</x:v>
      </x:c>
      <x:c r="C17" s="15" t="n">
        <x:f>COUNTA(F5:F14)</x:f>
        <x:v>0</x:v>
      </x:c>
      <x:c r="D17" s="15" t="n">
        <x:v>10</x:v>
      </x:c>
    </x:row>
    <x:row r="18">
      <x:c r="A18" s="15" t="str">
        <x:v>Eksik şirket kararı</x:v>
      </x:c>
      <x:c r="B18" s="15" t="str">
        <x:v>10 - onaylı değer sayısı</x:v>
      </x:c>
      <x:c r="C18" s="15" t="n">
        <x:f>10-C17</x:f>
        <x:v>10</x:v>
      </x:c>
      <x:c r="D18" s="15" t="n">
        <x:v>0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0" hidden="0" customWidth="1"/>
    <x:col min="3" max="3" width="14" hidden="0" customWidth="1"/>
    <x:col min="4" max="4" width="14" hidden="0" customWidth="1"/>
    <x:col min="5" max="5" width="28" hidden="0" customWidth="1"/>
    <x:col min="6" max="6" width="28" hidden="0" customWidth="1"/>
    <x:col min="7" max="7" width="28" hidden="0" customWidth="1"/>
    <x:col min="8" max="8" width="40" hidden="0" customWidth="1"/>
    <x:col min="9" max="9" width="32" hidden="0" customWidth="1"/>
  </x:cols>
  <x:sheetData>
    <x:row r="1" ht="32" customHeight="1">
      <x:c r="A1" s="3" t="str">
        <x:v>Bordro Devir — Mart 2026</x:v>
      </x:c>
      <x:c r="B1" s="3"/>
      <x:c r="C1" s="3"/>
      <x:c r="D1" s="3"/>
      <x:c r="E1" s="3"/>
      <x:c r="F1" s="3"/>
      <x:c r="G1" s="3"/>
      <x:c r="H1" s="3"/>
      <x:c r="I1" s="3"/>
    </x:row>
    <x:row r="2" ht="34" customHeight="1">
      <x:c r="A2" s="7" t="str">
        <x:v>Ayşe Yılmaz 15.01.2020 girişlidir; Ocak–Şubat 2026 kapanmış bordro kümülatifleri sıfır varsayılamaz.</x:v>
      </x:c>
      <x:c r="B2" s="7"/>
      <x:c r="C2" s="7"/>
      <x:c r="D2" s="7"/>
      <x:c r="E2" s="7"/>
      <x:c r="F2" s="7"/>
      <x:c r="G2" s="7"/>
      <x:c r="H2" s="7"/>
      <x:c r="I2" s="7"/>
    </x:row>
    <x:row r="4" ht="30" customHeight="1">
      <x:c r="A4" s="12" t="str">
        <x:v>Sicil</x:v>
      </x:c>
      <x:c r="B4" s="12" t="str">
        <x:v>Ad Soyad</x:v>
      </x:c>
      <x:c r="C4" s="12" t="str">
        <x:v>İşe Giriş</x:v>
      </x:c>
      <x:c r="D4" s="12" t="str">
        <x:v>Dönem</x:v>
      </x:c>
      <x:c r="E4" s="12" t="str">
        <x:v>Önceki Kümülatif GV Matrahı</x:v>
      </x:c>
      <x:c r="F4" s="12" t="str">
        <x:v>Önceki Kümülatif GV</x:v>
      </x:c>
      <x:c r="G4" s="12" t="str">
        <x:v>Önceki Kümülatif SGK Matrahı</x:v>
      </x:c>
      <x:c r="H4" s="12" t="str">
        <x:v>Zorunluluk</x:v>
      </x:c>
      <x:c r="I4" s="12" t="str">
        <x:v>Durum</x:v>
      </x:c>
    </x:row>
    <x:row r="5">
      <x:c r="A5" s="15" t="str">
        <x:v>P-0001</x:v>
      </x:c>
      <x:c r="B5" s="15" t="str">
        <x:v>Ayse Yilmaz</x:v>
      </x:c>
      <x:c r="C5" s="15" t="str">
        <x:v>2020-01-15</x:v>
      </x:c>
      <x:c r="D5" s="15" t="str">
        <x:v>2026-03</x:v>
      </x:c>
      <x:c r="E5" s="24"/>
      <x:c r="F5" s="24"/>
      <x:c r="G5" s="24"/>
      <x:c r="H5" s="15" t="str">
        <x:v>İlk iki alan zorunlu; SGK matrahı sistemde opsiyonel</x:v>
      </x:c>
      <x:c r="I5" s="24" t="str">
        <x:v>KAPANMIŞ BORDRO KAYNAĞI EKSİK</x:v>
      </x:c>
    </x:row>
    <x:row r="8" ht="30" customHeight="1">
      <x:c r="A8" s="12" t="str">
        <x:v>Kontrol</x:v>
      </x:c>
      <x:c r="B8" s="12" t="str">
        <x:v>Formül</x:v>
      </x:c>
      <x:c r="C8" s="12" t="str">
        <x:v>Sonuç</x:v>
      </x:c>
      <x:c r="D8" s="12" t="str">
        <x:v>Beklenen</x:v>
      </x:c>
    </x:row>
    <x:row r="9">
      <x:c r="A9" s="15" t="str">
        <x:v>Zorunlu alan dolu</x:v>
      </x:c>
      <x:c r="B9" s="15" t="str">
        <x:v>E5 ve F5</x:v>
      </x:c>
      <x:c r="C9" s="15" t="n">
        <x:f>COUNTA(E5:F5)</x:f>
        <x:v>0</x:v>
      </x:c>
      <x:c r="D9" s="15" t="n">
        <x:v>2</x:v>
      </x:c>
    </x:row>
    <x:row r="10">
      <x:c r="A10" s="15" t="str">
        <x:v>Eksik zorunlu alan</x:v>
      </x:c>
      <x:c r="B10" s="15" t="str">
        <x:v>2 - dolu alan</x:v>
      </x:c>
      <x:c r="C10" s="15" t="n">
        <x:f>2-C9</x:f>
        <x:v>2</x:v>
      </x:c>
      <x:c r="D10" s="15" t="n">
        <x:v>0</x:v>
      </x:c>
    </x:row>
    <x:row r="11">
      <x:c r="A11" s="15" t="str">
        <x:v>Sıfır kabul edilebilir mi?</x:v>
      </x:c>
      <x:c r="B11" s="15" t="str">
        <x:v>İşe giriş 2020 olduğu için hayır</x:v>
      </x:c>
      <x:c r="C11" s="15" t="str">
        <x:v>HAYIR</x:v>
      </x:c>
      <x:c r="D11" s="15" t="str">
        <x:v>HAYIR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38" hidden="0" customWidth="1"/>
    <x:col min="3" max="3" width="20" hidden="0" customWidth="1"/>
    <x:col min="4" max="4" width="70" hidden="0" customWidth="1"/>
    <x:col min="5" max="5" width="46" hidden="0" customWidth="1"/>
  </x:cols>
  <x:sheetData>
    <x:row r="1" ht="32" customHeight="1">
      <x:c r="A1" s="3" t="str">
        <x:v>Kaynak ve Kanıt Envanteri</x:v>
      </x:c>
      <x:c r="B1" s="3"/>
      <x:c r="C1" s="3"/>
      <x:c r="D1" s="3"/>
      <x:c r="E1" s="3"/>
    </x:row>
    <x:row r="2" ht="34" customHeight="1">
      <x:c r="A2" s="7" t="str">
        <x:v>Resmî internet kaynakları ile yerel/canlı veri kontrolleri birlikte listelenir.</x:v>
      </x:c>
      <x:c r="B2" s="7"/>
      <x:c r="C2" s="7"/>
      <x:c r="D2" s="7"/>
      <x:c r="E2" s="7"/>
    </x:row>
    <x:row r="4" ht="30" customHeight="1">
      <x:c r="A4" s="12" t="str">
        <x:v>No</x:v>
      </x:c>
      <x:c r="B4" s="12" t="str">
        <x:v>Kaynak</x:v>
      </x:c>
      <x:c r="C4" s="12" t="str">
        <x:v>Tür</x:v>
      </x:c>
      <x:c r="D4" s="12" t="str">
        <x:v>URL / Dosya</x:v>
      </x:c>
      <x:c r="E4" s="12" t="str">
        <x:v>Kullanım</x:v>
      </x:c>
    </x:row>
    <x:row r="5">
      <x:c r="A5" s="15" t="n">
        <x:v>1</x:v>
      </x:c>
      <x:c r="B5" s="15" t="str">
        <x:v>ÇSGB Asgari Ücret 2026</x:v>
      </x:c>
      <x:c r="C5" s="15" t="str">
        <x:v>Resmî</x:v>
      </x:c>
      <x:c r="D5" s="15" t="str">
        <x:v>https://www.csgb.gov.tr/tr/poco-pages/asgari-ucret/</x:v>
      </x:c>
      <x:c r="E5" s="15" t="str">
        <x:v>Brüt/net asgari ücret, çalışan SGK ve işsizlik oranı</x:v>
      </x:c>
    </x:row>
    <x:row r="6">
      <x:c r="A6" s="15" t="n">
        <x:v>2</x:v>
      </x:c>
      <x:c r="B6" s="15" t="str">
        <x:v>GİB Asgari Ücretten Yapılan Kesintiler</x:v>
      </x:c>
      <x:c r="C6" s="15" t="str">
        <x:v>Resmî</x:v>
      </x:c>
      <x:c r="D6" s="15" t="str">
        <x:v>https://cdn.gib.gov.tr/api/gibportal-file/file/getFileResources?objectKey=arsiv%2Fyardim-kaynaklar%2Fyararli-bilgiler%2FAsgariUcrettenYapilanKesintiler.pdf</x:v>
      </x:c>
      <x:c r="E6" s="15" t="str">
        <x:v>GV ve damga vergisi istisnası; net hesap</x:v>
      </x:c>
    </x:row>
    <x:row r="7">
      <x:c r="A7" s="15" t="n">
        <x:v>3</x:v>
      </x:c>
      <x:c r="B7" s="15" t="str">
        <x:v>SGK Prime Esas Kazanç Miktarları</x:v>
      </x:c>
      <x:c r="C7" s="15" t="str">
        <x:v>Resmî</x:v>
      </x:c>
      <x:c r="D7" s="15" t="str">
        <x:v>https://www.sgk.gov.tr/Content/Post/2e0c9e1a-2cfe-4456-af10-49d3de0c58ba/Prime-Esas-Kazanc-Miktarlari-2026-01-14-10-35-39</x:v>
      </x:c>
      <x:c r="E7" s="15" t="str">
        <x:v>2026 günlük/aylık PEK alt ve üst sınırı</x:v>
      </x:c>
    </x:row>
    <x:row r="8">
      <x:c r="A8" s="15" t="n">
        <x:v>4</x:v>
      </x:c>
      <x:c r="B8" s="15" t="str">
        <x:v>GİB Ücret Geliri</x:v>
      </x:c>
      <x:c r="C8" s="15" t="str">
        <x:v>Resmî</x:v>
      </x:c>
      <x:c r="D8" s="15" t="str">
        <x:v>https://www.gib.gov.tr/vergi-konulari/1_bireysel/11_ucret_geliri/11</x:v>
      </x:c>
      <x:c r="E8" s="15" t="str">
        <x:v>2026 ücret gelir vergisi tarifesi</x:v>
      </x:c>
    </x:row>
    <x:row r="9">
      <x:c r="A9" s="15" t="n">
        <x:v>5</x:v>
      </x:c>
      <x:c r="B9" s="15" t="str">
        <x:v>GİB 2026 Gelir Vergisi Tarifesi PDF</x:v>
      </x:c>
      <x:c r="C9" s="15" t="str">
        <x:v>Resmî</x:v>
      </x:c>
      <x:c r="D9" s="15" t="str">
        <x:v>https://cdn.gib.gov.tr/api/gibportal-file/file/getFileResources?objectKey=arsiv%2Fyardim-kaynaklar%2Fyararli-bilgiler%2Fgelir-vergisi-tarifeleri%2Fgelir-vergisi-tarifesi-2026.pdf</x:v>
      </x:c>
      <x:c r="E9" s="15" t="str">
        <x:v>Ücret dilimleri ve oranları</x:v>
      </x:c>
    </x:row>
    <x:row r="10">
      <x:c r="A10" s="15" t="n">
        <x:v>6</x:v>
      </x:c>
      <x:c r="B10" s="15" t="str">
        <x:v>GİB Damga Vergisi (1) Sayılı Tablo</x:v>
      </x:c>
      <x:c r="C10" s="15" t="str">
        <x:v>Resmî</x:v>
      </x:c>
      <x:c r="D10" s="15" t="str">
        <x:v>https://cdn.gib.gov.tr/api/gibportal-file/file/getFile?objectKey=MEVZUAT_TEBLIGLER%2FUNIVERSAL%2F2025%2F488_Tablo1_01102025.pdf</x:v>
      </x:c>
      <x:c r="E10" s="15" t="str">
        <x:v>Ücret makbuzları binde 7,59</x:v>
      </x:c>
    </x:row>
    <x:row r="11">
      <x:c r="A11" s="15" t="n">
        <x:v>7</x:v>
      </x:c>
      <x:c r="B11" s="15" t="str">
        <x:v>4857 sayılı İş Kanunu</x:v>
      </x:c>
      <x:c r="C11" s="15" t="str">
        <x:v>Resmî</x:v>
      </x:c>
      <x:c r="D11" s="15" t="str">
        <x:v>https://www.csgb.gov.tr/Media/crldhi51/4857-say%C4%B1l%C4%B1-i%C5%9F-kanunu.pdf</x:v>
      </x:c>
      <x:c r="E11" s="15" t="str">
        <x:v>m.41, m.46, m.47, m.63</x:v>
      </x:c>
    </x:row>
    <x:row r="12">
      <x:c r="A12" s="15" t="n">
        <x:v>8</x:v>
      </x:c>
      <x:c r="B12" s="15" t="str">
        <x:v>Fazla Çalışma Yönetmeliği</x:v>
      </x:c>
      <x:c r="C12" s="15" t="str">
        <x:v>Resmî</x:v>
      </x:c>
      <x:c r="D12" s="15" t="str">
        <x:v>https://www.csgb.gov.tr/Media/gekgpqcm/i%C5%9F-kanununa-ili%C5%9Fkin-fazla-%C3%A7al%C4%B1%C5%9Fma-ve-fazla-s%C3%BCrelerle-%C3%A7al%C4%B1%C5%9Fma-y%C3%B6netmeli%C4%9Fi.pdf</x:v>
      </x:c>
      <x:c r="E12" s="15" t="str">
        <x:v>%50 ve %25 zamlı ücret</x:v>
      </x:c>
    </x:row>
    <x:row r="13">
      <x:c r="A13" s="15" t="n">
        <x:v>9</x:v>
      </x:c>
      <x:c r="B13" s="15" t="str">
        <x:v>Canlı Ayşe Yılmaz Personel Kartı</x:v>
      </x:c>
      <x:c r="C13" s="15" t="str">
        <x:v>Canlı read-only</x:v>
      </x:c>
      <x:c r="D13" s="15" t="str">
        <x:v>https://www.karmotors.com.tr/personelmedisa/personeller/1</x:v>
      </x:c>
      <x:c r="E13" s="15" t="str">
        <x:v>P-0001 aktif; işe giriş 15.01.2020</x:v>
      </x:c>
    </x:row>
    <x:row r="14">
      <x:c r="A14" s="15" t="n">
        <x:v>10</x:v>
      </x:c>
      <x:c r="B14" s="15" t="str">
        <x:v>MAAŞ ÖDEME ÇİZELGESİ OCAK MEDİSA.xls</x:v>
      </x:c>
      <x:c r="C14" s="15" t="str">
        <x:v>Yerel şirket dosyası</x:v>
      </x:c>
      <x:c r="D14" s="15" t="str">
        <x:v>Medisa Belgeler/.../seda tablolar</x:v>
      </x:c>
      <x:c r="E14" s="15" t="str">
        <x:v>Ayşe/P-0001 eşleşmesi yok</x:v>
      </x:c>
    </x:row>
    <x:row r="15">
      <x:c r="A15" s="15" t="n">
        <x:v>11</x:v>
      </x:c>
      <x:c r="B15" s="15" t="str">
        <x:v>Bordro - 2026-03-06T122905.551.xls</x:v>
      </x:c>
      <x:c r="C15" s="15" t="str">
        <x:v>Yerel şirket dosyası</x:v>
      </x:c>
      <x:c r="D15" s="15" t="str">
        <x:v>Medisa Belgeler/.../seda tablolar</x:v>
      </x:c>
      <x:c r="E15" s="15" t="str">
        <x:v>Ayşe/P-0001 eşleşmesi yok</x:v>
      </x:c>
    </x:row>
    <x:row r="16">
      <x:c r="A16" s="15" t="n">
        <x:v>12</x:v>
      </x:c>
      <x:c r="B16" s="15" t="str">
        <x:v>2026 personel savaş onaylı.xlsx</x:v>
      </x:c>
      <x:c r="C16" s="15" t="str">
        <x:v>Yerel şirket dosyası</x:v>
      </x:c>
      <x:c r="D16" s="15" t="str">
        <x:v>Medisa Belgeler/.../seda tablolar</x:v>
      </x:c>
      <x:c r="E16" s="15" t="str">
        <x:v>Ayşe/P-0001 eşleşmesi yok</x:v>
      </x:c>
    </x:row>
    <x:row r="17">
      <x:c r="A17" s="15" t="n">
        <x:v>13</x:v>
      </x:c>
      <x:c r="B17" s="15" t="str">
        <x:v>Ocak/Şubat resmî eksik gün listeleri</x:v>
      </x:c>
      <x:c r="C17" s="15" t="str">
        <x:v>Yerel şirket dosyası</x:v>
      </x:c>
      <x:c r="D17" s="15" t="str">
        <x:v>Medisa Belgeler/.../seda tablolar</x:v>
      </x:c>
      <x:c r="E17" s="15" t="str">
        <x:v>Ayşe/P-0001 eşleşmesi yok</x:v>
      </x:c>
    </x:row>
    <x:row r="18">
      <x:c r="A18" s="15" t="n">
        <x:v>14</x:v>
      </x:c>
      <x:c r="B18" s="15" t="str">
        <x:v>Seda sorular.docx</x:v>
      </x:c>
      <x:c r="C18" s="15" t="str">
        <x:v>Yerel şirket dosyası</x:v>
      </x:c>
      <x:c r="D18" s="15" t="str">
        <x:v>Medisa Belgeler/.../seda tablolar</x:v>
      </x:c>
      <x:c r="E18" s="15" t="str">
        <x:v>Şirket politikası cevapları boş</x:v>
      </x:c>
    </x:row>
  </x:sheetData>
  <x:mergeCells>
    <x:mergeCell ref="A1:E1"/>
    <x:mergeCell ref="A2:E2"/>
  </x:mergeCells>
  <x:pageMargins left="0.7" right="0.7" top="0.75" bottom="0.75" header="0.3" footer="0.3"/>
</x:worksheet>
</file>